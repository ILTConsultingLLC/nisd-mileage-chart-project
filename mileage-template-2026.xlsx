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Campus List" sheetId="2" r:id="rId6"/>
  </sheets>
  <definedNames/>
  <calcPr/>
</workbook>
</file>

<file path=xl/sharedStrings.xml><?xml version="1.0" encoding="utf-8"?>
<sst xmlns="http://schemas.openxmlformats.org/spreadsheetml/2006/main" count="196" uniqueCount="195">
  <si>
    <t>NISD Mileage Chart</t>
  </si>
  <si>
    <t>NORTHSIDE INDEPENDENT SCHOOL DISTRICT
SAN ANTONIO, TEXAS</t>
  </si>
  <si>
    <r>
      <rPr>
        <rFont val="Helvetica"/>
        <b/>
        <color rgb="FFFF0000"/>
        <sz val="14.0"/>
      </rPr>
      <t xml:space="preserve">2026 </t>
    </r>
    <r>
      <rPr>
        <rFont val="Arial Black"/>
        <color rgb="FF000000"/>
        <sz val="14.0"/>
      </rPr>
      <t xml:space="preserve">MONTHLY MILEAGE REIMBURSEMENT FORM </t>
    </r>
    <r>
      <rPr>
        <rFont val="Helvetica"/>
        <b/>
        <color rgb="FFFF0000"/>
        <sz val="14.0"/>
      </rPr>
      <t>(Effective 01/01/2026)</t>
    </r>
  </si>
  <si>
    <t>DATE</t>
  </si>
  <si>
    <t>CAMPUS/DEPT</t>
  </si>
  <si>
    <r>
      <rPr>
        <rFont val="Arial"/>
        <color theme="1"/>
        <sz val="11.0"/>
      </rPr>
      <t>COST CENTER:</t>
    </r>
  </si>
  <si>
    <t>CHECK PAYABLE TO</t>
  </si>
  <si>
    <t>Employee I.D.#</t>
  </si>
  <si>
    <r>
      <rPr>
        <rFont val="Arial"/>
        <color theme="1"/>
        <sz val="10.0"/>
      </rPr>
      <t>NAME EXACTLY AS PAYROLL RECORD</t>
    </r>
  </si>
  <si>
    <t>ADDRESS</t>
  </si>
  <si>
    <r>
      <rPr>
        <rFont val="Arial"/>
        <color theme="1"/>
        <sz val="10.0"/>
      </rPr>
      <t>PERMANENT HOME ADDRESS</t>
    </r>
  </si>
  <si>
    <r>
      <rPr>
        <rFont val="Arial"/>
        <color theme="1"/>
        <sz val="10.0"/>
      </rPr>
      <t>City</t>
    </r>
  </si>
  <si>
    <r>
      <rPr>
        <rFont val="Arial"/>
        <color theme="1"/>
        <sz val="10.0"/>
      </rPr>
      <t>STATE</t>
    </r>
  </si>
  <si>
    <r>
      <rPr>
        <rFont val="Arial"/>
        <color theme="1"/>
        <sz val="10.0"/>
      </rPr>
      <t>ZIP</t>
    </r>
  </si>
  <si>
    <r>
      <rPr>
        <rFont val="Arial"/>
        <color theme="1"/>
        <sz val="12.0"/>
      </rPr>
      <t>If this is not to be paid by general fund standard departmental travel account, please provide details for the bookkeeper.</t>
    </r>
  </si>
  <si>
    <t>FUND:</t>
  </si>
  <si>
    <t>CLUB/SAF PROJECT CODE:</t>
  </si>
  <si>
    <t>Comment(s) on budget:</t>
  </si>
  <si>
    <r>
      <rPr>
        <rFont val="Arial"/>
        <b/>
        <color rgb="FF000000"/>
        <sz val="12.0"/>
      </rPr>
      <t xml:space="preserve">Date 
</t>
    </r>
    <r>
      <rPr>
        <rFont val="Arial"/>
        <b val="0"/>
        <color rgb="FF000000"/>
        <sz val="12.0"/>
      </rPr>
      <t>(MM/DD/YY)</t>
    </r>
  </si>
  <si>
    <t>TRAVEL FROM</t>
  </si>
  <si>
    <t>TRAVEL TO</t>
  </si>
  <si>
    <t>PURPOSE FOR TRAVEL</t>
  </si>
  <si>
    <r>
      <rPr>
        <rFont val="Arial"/>
        <b/>
        <color theme="1"/>
        <sz val="12.0"/>
      </rPr>
      <t>NUMBER OF MILES</t>
    </r>
  </si>
  <si>
    <t>Per NISD         Other
Mileage           (ie: online
Chart    -OR-       map)</t>
  </si>
  <si>
    <t>Per mileage chart</t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</si>
  <si>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</si>
  <si>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</si>
  <si>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</si>
  <si>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</si>
  <si>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</si>
  <si>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</si>
  <si>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</si>
  <si>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</si>
  <si>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</si>
  <si>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</si>
  <si>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</si>
  <si>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Per mileage chart</t>
    </r>
  </si>
  <si>
    <r>
      <rPr>
        <rFont val="Arial"/>
        <color theme="1"/>
        <sz val="10.0"/>
      </rPr>
      <t>Total miles</t>
    </r>
  </si>
  <si>
    <r>
      <rPr>
        <rFont val="Arial"/>
        <color theme="1"/>
        <sz val="10.0"/>
      </rPr>
      <t>Rate per mile</t>
    </r>
  </si>
  <si>
    <r>
      <rPr>
        <rFont val="Arial"/>
        <color theme="1"/>
        <sz val="10.0"/>
      </rPr>
      <t>Total mileage expenses</t>
    </r>
  </si>
  <si>
    <t>MILEAGE REIMBURSEMENT FORMS SHOULD BE SUBMITTED THROUGH EMPLOYEE SELF SERVICE AND DO NOT REQUIRE SIGNATURE.</t>
  </si>
  <si>
    <t>I hereby certify the information hereon is true and correct.</t>
  </si>
  <si>
    <t>NAME:</t>
  </si>
  <si>
    <t>BOOKKEEPER WILL ALLOCATE APPROPRIATE ACCOUNT CODE.     ADMINISTRATOR RESPONSIBLE FOR COST CENTER APPROVES/DENIES
BASED ON:</t>
  </si>
  <si>
    <t>Request is not a duplicate request.
Reasonableness in costs and mileage.
Commuting is not reimbursable.
Source documents (ex: online maps) are attached if applicable.</t>
  </si>
  <si>
    <t>Account charged is appropriate.
Purpose is completed.
This form agrees to claim amount(s) in the Employee Self Service claim.</t>
  </si>
  <si>
    <t>See district policies in Administrative Regulation BUS-05 and BUS-07.    Federal guidelines in OMB Circular A-87 apply.</t>
  </si>
  <si>
    <t>1025-26 Fiscal year end (FE) of date of payment +7 yrs Previous edition of this form are obsolete.                                                                                                                                 BUS 005 06-12 R</t>
  </si>
  <si>
    <t>Adams Hill E.S.</t>
  </si>
  <si>
    <t>Allen ES</t>
  </si>
  <si>
    <t>Aue E.S.</t>
  </si>
  <si>
    <t>Beard E.S.</t>
  </si>
  <si>
    <t>Behlau E.S.</t>
  </si>
  <si>
    <t>Blattman E.S.</t>
  </si>
  <si>
    <t>Boldt E.S.</t>
  </si>
  <si>
    <t>Boone E.S.</t>
  </si>
  <si>
    <t>Brauchle E.S.</t>
  </si>
  <si>
    <t>Braun Station E.S.</t>
  </si>
  <si>
    <t>Burke E.S.</t>
  </si>
  <si>
    <t>Cable E.S.</t>
  </si>
  <si>
    <t>Carnahan E.S.</t>
  </si>
  <si>
    <t>Carson E.S.</t>
  </si>
  <si>
    <t>Chumbley E.S.</t>
  </si>
  <si>
    <t>Cody E.S.</t>
  </si>
  <si>
    <t>Cole E.S.</t>
  </si>
  <si>
    <t>Colonies North E.S.</t>
  </si>
  <si>
    <t>Coon E.S., Carlos</t>
  </si>
  <si>
    <t>Driggers E.S.</t>
  </si>
  <si>
    <t>Elrod E.S.</t>
  </si>
  <si>
    <t>Esparza E.S.</t>
  </si>
  <si>
    <t>Evers E.S.</t>
  </si>
  <si>
    <t>Ellison E.S.</t>
  </si>
  <si>
    <t>Franklin E.S.</t>
  </si>
  <si>
    <t>Fernandez E.S.</t>
  </si>
  <si>
    <t>Fields E.S.</t>
  </si>
  <si>
    <t>Fisher E.S.</t>
  </si>
  <si>
    <t>Forester E.S.</t>
  </si>
  <si>
    <t>Galm E.S.</t>
  </si>
  <si>
    <t>Glass E.S.</t>
  </si>
  <si>
    <t>Glenn E.S.</t>
  </si>
  <si>
    <t>Glenoaks E.S.</t>
  </si>
  <si>
    <t>Hatchett E.S.</t>
  </si>
  <si>
    <t>Helotes E.S.</t>
  </si>
  <si>
    <t>Henderson E.S.</t>
  </si>
  <si>
    <t>Hoffman E.S.</t>
  </si>
  <si>
    <t>Howsman E.S.</t>
  </si>
  <si>
    <t>Hull E.S.</t>
  </si>
  <si>
    <t>Kallison E.S.</t>
  </si>
  <si>
    <t>Knowlton E.S.</t>
  </si>
  <si>
    <t>Krueger E.S.</t>
  </si>
  <si>
    <t>Kuentz E.S.</t>
  </si>
  <si>
    <t>Langley E.S.</t>
  </si>
  <si>
    <t>Leon Springs E.S.</t>
  </si>
  <si>
    <t>Leon Valley E.S.</t>
  </si>
  <si>
    <t>Lewis E.S.</t>
  </si>
  <si>
    <t>Lieck E.S.</t>
  </si>
  <si>
    <t>Linton E.S.</t>
  </si>
  <si>
    <t>Locke Hill E.S.</t>
  </si>
  <si>
    <t>Los Reyes E.S.</t>
  </si>
  <si>
    <t>Martin E.S.</t>
  </si>
  <si>
    <t>May E.S.</t>
  </si>
  <si>
    <t>McAndrew E.S.</t>
  </si>
  <si>
    <t>McDermott E.S.</t>
  </si>
  <si>
    <t>Mead E.S.</t>
  </si>
  <si>
    <t>Meadow Village E.S.</t>
  </si>
  <si>
    <t>Michael E.S.</t>
  </si>
  <si>
    <t>Mireles E.S.</t>
  </si>
  <si>
    <t>Mora E.S.</t>
  </si>
  <si>
    <t>Murnin E.S.</t>
  </si>
  <si>
    <t>Myers ES.</t>
  </si>
  <si>
    <t>N Children's Ctr.</t>
  </si>
  <si>
    <t>Nichols E.S.</t>
  </si>
  <si>
    <t>Northwest Crossing E.S.</t>
  </si>
  <si>
    <t>Oak Hills Terrace E.S.</t>
  </si>
  <si>
    <t>Ott E.S.</t>
  </si>
  <si>
    <t>Passmore E.S.</t>
  </si>
  <si>
    <t>Powell E.S.</t>
  </si>
  <si>
    <t>Raba E.S.</t>
  </si>
  <si>
    <t>Reed E.S.</t>
  </si>
  <si>
    <t>Rhodes E.S.</t>
  </si>
  <si>
    <t>Scarborough E.S.</t>
  </si>
  <si>
    <t>Scobee E.S.</t>
  </si>
  <si>
    <t>Steubing E.S.</t>
  </si>
  <si>
    <t>Thornton E.S.</t>
  </si>
  <si>
    <t>Timberwilde E.S.</t>
  </si>
  <si>
    <t>Tomlinson E.S.</t>
  </si>
  <si>
    <t>Valley Hi E.S.</t>
  </si>
  <si>
    <t>Villarreal E.S.</t>
  </si>
  <si>
    <t>Wanke E.S.</t>
  </si>
  <si>
    <t>Ward E.S.</t>
  </si>
  <si>
    <t>Wernli E.S.</t>
  </si>
  <si>
    <t>Westwood Terrace E.S.</t>
  </si>
  <si>
    <t>Alternative M.S. North</t>
  </si>
  <si>
    <t>Alternative M.S. South</t>
  </si>
  <si>
    <t>Bernal M.S.</t>
  </si>
  <si>
    <t>Briscoe M.S.</t>
  </si>
  <si>
    <t>Connally M.S.</t>
  </si>
  <si>
    <t>Folks M.S.</t>
  </si>
  <si>
    <t>Garcia M.S., Hector</t>
  </si>
  <si>
    <t>Hobby M.S.</t>
  </si>
  <si>
    <t>Jefferson M.S.</t>
  </si>
  <si>
    <t>Jones M.S.</t>
  </si>
  <si>
    <t>Jordan M.S.</t>
  </si>
  <si>
    <t>Luna M.S.</t>
  </si>
  <si>
    <t>Neff M.S.</t>
  </si>
  <si>
    <t>Pease M.S.</t>
  </si>
  <si>
    <t>Rawlinson M.S.</t>
  </si>
  <si>
    <t>Rayburn M.S.</t>
  </si>
  <si>
    <t>Ross M.S.</t>
  </si>
  <si>
    <t>Rudder M.S.</t>
  </si>
  <si>
    <t>Stevenson M.S.</t>
  </si>
  <si>
    <t>Stinson M.S.</t>
  </si>
  <si>
    <t>Straus M.S.</t>
  </si>
  <si>
    <t>Vale M.S.</t>
  </si>
  <si>
    <t>Zachry M.S.</t>
  </si>
  <si>
    <t>Alternative H.S.</t>
  </si>
  <si>
    <t>Brandeis H.S.</t>
  </si>
  <si>
    <t>Brennan H.S.</t>
  </si>
  <si>
    <t>Business Careers H.S./NSITE</t>
  </si>
  <si>
    <t>Clark H.S.</t>
  </si>
  <si>
    <t>Communication Arts H.S.</t>
  </si>
  <si>
    <t>Evening H.S.</t>
  </si>
  <si>
    <t>Harlan H.S.</t>
  </si>
  <si>
    <t>Health Careers H.S.</t>
  </si>
  <si>
    <t>Holmes H.S.</t>
  </si>
  <si>
    <t>Holmgreen MS/HS</t>
  </si>
  <si>
    <t>Jay H.S.</t>
  </si>
  <si>
    <t>Marshall H.S.</t>
  </si>
  <si>
    <t>The Irene L. Chavez Excel Academy</t>
  </si>
  <si>
    <t>O'Connor H.S.</t>
  </si>
  <si>
    <t>Reddix Center</t>
  </si>
  <si>
    <t>Sotomayor H.S.</t>
  </si>
  <si>
    <t>Stevens H.S.</t>
  </si>
  <si>
    <t>South Texas Academy</t>
  </si>
  <si>
    <t>Taft H.S.</t>
  </si>
  <si>
    <t>Warren H.S.</t>
  </si>
  <si>
    <t>Administrative Bldg 5900 Evers</t>
  </si>
  <si>
    <t>[HR] 5617 Grissom</t>
  </si>
  <si>
    <t>Hardin Athletic Complex/NAC/Transportation 7001 Culebra</t>
  </si>
  <si>
    <t>NLC 6632 Bandera Rd</t>
  </si>
  <si>
    <t>Teicher Student Services 5651 Grissom</t>
  </si>
  <si>
    <t>Support Services Center 607 Richland Hills Dr</t>
  </si>
  <si>
    <t xml:space="preserve">Child Nutrition &amp; Warehouse 7520 Mainland </t>
  </si>
  <si>
    <t>Child Nutrition &amp; Warehouse 5903 NW Pkway</t>
  </si>
  <si>
    <t>Police 5619 Grissom Rd</t>
  </si>
  <si>
    <t>Farris Athletic Complex 8400 N. Loop 1604 W</t>
  </si>
  <si>
    <t>Maintenance 7524 Mainland Dr</t>
  </si>
  <si>
    <t>Maintenance North 11937 IH10 W</t>
  </si>
  <si>
    <t>Swim Center 8400 N. Loop 1604 W</t>
  </si>
  <si>
    <t>Smith Technology Center 5734 Farinon</t>
  </si>
  <si>
    <t>Tennis Center 12045 Leslie Rd.</t>
  </si>
  <si>
    <t>Transportation- North Station 6323 Hausman W</t>
  </si>
  <si>
    <t>Transportation- Rhodes Station 12005 Leslie Rd</t>
  </si>
  <si>
    <t>Transportation- South Station 435 Hunt Lane</t>
  </si>
  <si>
    <t>Transportation- McClung Station 14173 Old FM 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</si>
</sst>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/d/yyyy"/>
    <numFmt numFmtId="166" formatCode="$0.000"/>
    <numFmt numFmtId="167" formatCode="$0.00"/>
    <numFmt numFmtId="168" formatCode="_(* #,##0.00_);_(* \(#,##0.00\);_(* &quot;-&quot;??_);_(@_)"/>
  </numFmts>
  <fonts count="27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2.0"/>
      <color theme="1"/>
      <name val="Helvetica Neue"/>
    </font>
    <font/>
    <font>
      <b/>
      <u/>
      <sz val="12.0"/>
      <color rgb="FF0000FF"/>
      <name val="Helvetica"/>
    </font>
    <font>
      <sz val="14.0"/>
      <color theme="1"/>
      <name val="Arial"/>
    </font>
    <font>
      <sz val="14.0"/>
      <color rgb="FF000000"/>
      <name val="Times New Roman"/>
    </font>
    <font>
      <sz val="11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sz val="11.0"/>
      <color rgb="FF000000"/>
      <name val="Times New Roman"/>
    </font>
    <font>
      <sz val="6.0"/>
      <color theme="1"/>
      <name val="Arial"/>
    </font>
    <font>
      <sz val="10.0"/>
      <color rgb="FF000000"/>
      <name val="Arial"/>
    </font>
    <font>
      <sz val="10.0"/>
      <color theme="1"/>
      <name val="Times New Roman"/>
      <scheme val="minor"/>
    </font>
    <font>
      <sz val="12.0"/>
      <color theme="1"/>
      <name val="Arial"/>
    </font>
    <font>
      <sz val="11.0"/>
      <color rgb="FF1F1F1F"/>
      <name val="&quot;Google Sans&quot;"/>
    </font>
    <font>
      <i/>
      <sz val="11.0"/>
      <color rgb="FF1F1F1F"/>
      <name val="&quot;Google Sans&quot;"/>
    </font>
    <font>
      <b/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Times New Roman"/>
    </font>
    <font>
      <sz val="10.0"/>
      <color rgb="FF000000"/>
      <name val="Helvetica Neue"/>
    </font>
    <font>
      <sz val="9.0"/>
      <color rgb="FF000000"/>
      <name val="Arial"/>
    </font>
    <font>
      <sz val="10.0"/>
      <color rgb="FF1F1F1F"/>
      <name val="&quot;Google Sans&quot;"/>
    </font>
    <font>
      <sz val="8.0"/>
      <color theme="1"/>
      <name val="Arial"/>
    </font>
    <font>
      <sz val="8.0"/>
      <color rgb="FF000000"/>
      <name val="Arial"/>
    </font>
    <font>
      <sz val="8.0"/>
      <color rgb="FFFF0000"/>
      <name val="Arial"/>
    </font>
    <font>
      <sz val="9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BFA9FF"/>
        <bgColor rgb="FFBFA9FF"/>
      </patternFill>
    </fill>
    <fill>
      <patternFill patternType="solid">
        <fgColor rgb="FFDDE4FF"/>
        <bgColor rgb="FFDDE4FF"/>
      </patternFill>
    </fill>
    <fill>
      <patternFill patternType="solid">
        <fgColor rgb="FFFFFFFF"/>
        <bgColor rgb="FFFFFFFF"/>
      </patternFill>
    </fill>
  </fills>
  <borders count="28">
    <border/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bottom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vertical="top"/>
    </xf>
    <xf borderId="0" fillId="0" fontId="5" numFmtId="0" xfId="0" applyAlignment="1" applyFont="1">
      <alignment horizontal="center" readingOrder="0" shrinkToFit="0" vertical="center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bottom" wrapText="1"/>
    </xf>
    <xf borderId="11" fillId="3" fontId="7" numFmtId="164" xfId="0" applyAlignment="1" applyBorder="1" applyFill="1" applyFont="1" applyNumberFormat="1">
      <alignment horizontal="left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11" fillId="3" fontId="8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left" shrinkToFit="0" vertical="bottom" wrapText="1"/>
    </xf>
    <xf borderId="13" fillId="0" fontId="3" numFmtId="0" xfId="0" applyAlignment="1" applyBorder="1" applyFont="1">
      <alignment horizontal="left" vertical="top"/>
    </xf>
    <xf borderId="14" fillId="3" fontId="9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horizontal="left" shrinkToFit="0" vertical="bottom" wrapText="1"/>
    </xf>
    <xf borderId="11" fillId="3" fontId="7" numFmtId="0" xfId="0" applyAlignment="1" applyBorder="1" applyFont="1">
      <alignment horizontal="left" readingOrder="0" shrinkToFit="0" vertical="bottom" wrapText="1"/>
    </xf>
    <xf borderId="11" fillId="3" fontId="7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bottom" wrapText="1"/>
    </xf>
    <xf borderId="11" fillId="3" fontId="12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horizontal="left" vertical="top"/>
    </xf>
    <xf borderId="0" fillId="0" fontId="8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right" shrinkToFit="0" vertical="bottom" wrapText="1"/>
    </xf>
    <xf borderId="0" fillId="4" fontId="15" numFmtId="0" xfId="0" applyAlignment="1" applyFill="1" applyFont="1">
      <alignment horizontal="right" readingOrder="0" vertical="bottom"/>
    </xf>
    <xf borderId="11" fillId="3" fontId="7" numFmtId="0" xfId="0" applyAlignment="1" applyBorder="1" applyFont="1">
      <alignment horizontal="right" vertical="bottom"/>
    </xf>
    <xf borderId="11" fillId="3" fontId="9" numFmtId="0" xfId="0" applyAlignment="1" applyBorder="1" applyFont="1">
      <alignment horizontal="right" shrinkToFit="0" vertical="bottom" wrapText="1"/>
    </xf>
    <xf borderId="0" fillId="0" fontId="16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left" shrinkToFit="0" vertical="top" wrapText="1"/>
    </xf>
    <xf borderId="15" fillId="0" fontId="17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left" vertical="top"/>
    </xf>
    <xf borderId="15" fillId="0" fontId="18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left" vertical="top"/>
    </xf>
    <xf borderId="15" fillId="0" fontId="18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left" readingOrder="0" shrinkToFit="0" vertical="center" wrapText="1"/>
    </xf>
    <xf borderId="10" fillId="3" fontId="12" numFmtId="165" xfId="0" applyAlignment="1" applyBorder="1" applyFont="1" applyNumberFormat="1">
      <alignment horizontal="center" readingOrder="0" shrinkToFit="0" vertical="center" wrapText="1"/>
    </xf>
    <xf borderId="10" fillId="3" fontId="12" numFmtId="0" xfId="0" applyAlignment="1" applyBorder="1" applyFont="1">
      <alignment horizontal="center" readingOrder="0" shrinkToFit="0" vertical="center" wrapText="1"/>
    </xf>
    <xf borderId="18" fillId="3" fontId="8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 vertical="top"/>
    </xf>
    <xf borderId="10" fillId="3" fontId="8" numFmtId="0" xfId="0" applyAlignment="1" applyBorder="1" applyFont="1">
      <alignment horizontal="center" readingOrder="0" shrinkToFit="0" vertical="center" wrapText="1"/>
    </xf>
    <xf borderId="21" fillId="3" fontId="12" numFmtId="165" xfId="0" applyAlignment="1" applyBorder="1" applyFont="1" applyNumberFormat="1">
      <alignment horizontal="center" readingOrder="0" shrinkToFit="0" vertical="center" wrapText="1"/>
    </xf>
    <xf borderId="22" fillId="0" fontId="3" numFmtId="0" xfId="0" applyAlignment="1" applyBorder="1" applyFont="1">
      <alignment horizontal="left" vertical="top"/>
    </xf>
    <xf borderId="21" fillId="3" fontId="12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left" vertical="top"/>
    </xf>
    <xf borderId="10" fillId="3" fontId="8" numFmtId="0" xfId="0" applyAlignment="1" applyBorder="1" applyFont="1">
      <alignment horizontal="center" shrinkToFit="0" vertical="center" wrapText="1"/>
    </xf>
    <xf borderId="21" fillId="3" fontId="8" numFmtId="0" xfId="0" applyAlignment="1" applyBorder="1" applyFont="1">
      <alignment horizontal="center" readingOrder="0" shrinkToFit="0" vertical="center" wrapText="1"/>
    </xf>
    <xf borderId="21" fillId="3" fontId="8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bottom" wrapText="1"/>
    </xf>
    <xf borderId="23" fillId="0" fontId="8" numFmtId="0" xfId="0" applyAlignment="1" applyBorder="1" applyFont="1">
      <alignment horizontal="right" shrinkToFit="0" vertical="top" wrapText="1"/>
    </xf>
    <xf borderId="21" fillId="3" fontId="20" numFmtId="2" xfId="0" applyAlignment="1" applyBorder="1" applyFont="1" applyNumberFormat="1">
      <alignment horizontal="center" shrinkToFit="1" vertical="center" wrapText="0"/>
    </xf>
    <xf borderId="4" fillId="0" fontId="1" numFmtId="0" xfId="0" applyAlignment="1" applyBorder="1" applyFont="1">
      <alignment horizontal="left" shrinkToFit="0" vertical="bottom" wrapText="1"/>
    </xf>
    <xf borderId="24" fillId="0" fontId="2" numFmtId="0" xfId="0" applyAlignment="1" applyBorder="1" applyFont="1">
      <alignment horizontal="left" shrinkToFit="0" vertical="top" wrapText="1"/>
    </xf>
    <xf borderId="25" fillId="0" fontId="3" numFmtId="0" xfId="0" applyAlignment="1" applyBorder="1" applyFont="1">
      <alignment horizontal="left" vertical="top"/>
    </xf>
    <xf borderId="26" fillId="0" fontId="3" numFmtId="0" xfId="0" applyAlignment="1" applyBorder="1" applyFont="1">
      <alignment horizontal="left" vertical="top"/>
    </xf>
    <xf borderId="21" fillId="3" fontId="20" numFmtId="166" xfId="0" applyAlignment="1" applyBorder="1" applyFont="1" applyNumberFormat="1">
      <alignment horizontal="center" readingOrder="0" shrinkToFit="1" vertical="center" wrapText="0"/>
    </xf>
    <xf borderId="27" fillId="0" fontId="1" numFmtId="0" xfId="0" applyAlignment="1" applyBorder="1" applyFont="1">
      <alignment horizontal="left" shrinkToFit="0" vertical="center" wrapText="1"/>
    </xf>
    <xf borderId="21" fillId="3" fontId="20" numFmtId="167" xfId="0" applyAlignment="1" applyBorder="1" applyFont="1" applyNumberFormat="1">
      <alignment horizontal="center" shrinkToFit="1" vertical="center" wrapText="0"/>
    </xf>
    <xf borderId="27" fillId="0" fontId="1" numFmtId="0" xfId="0" applyAlignment="1" applyBorder="1" applyFont="1">
      <alignment horizontal="left" shrinkToFit="0" vertical="bottom" wrapText="1"/>
    </xf>
    <xf borderId="0" fillId="0" fontId="21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center" readingOrder="0" vertical="top"/>
    </xf>
    <xf borderId="0" fillId="4" fontId="22" numFmtId="0" xfId="0" applyAlignment="1" applyFont="1">
      <alignment horizontal="left" readingOrder="0" vertical="top"/>
    </xf>
    <xf borderId="11" fillId="3" fontId="1" numFmtId="0" xfId="0" applyAlignment="1" applyBorder="1" applyFont="1">
      <alignment horizontal="left" readingOrder="0" shrinkToFit="0" vertical="top" wrapText="1"/>
    </xf>
    <xf borderId="0" fillId="0" fontId="23" numFmtId="0" xfId="0" applyAlignment="1" applyFont="1">
      <alignment horizontal="left" shrinkToFit="0" vertical="center" wrapText="1"/>
    </xf>
    <xf borderId="11" fillId="0" fontId="23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horizontal="left" readingOrder="0" shrinkToFit="0" vertical="center" wrapText="1"/>
    </xf>
    <xf borderId="0" fillId="4" fontId="26" numFmtId="0" xfId="0" applyAlignment="1" applyFont="1">
      <alignment horizontal="left" readingOrder="0" vertical="center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8" numFmtId="168" xfId="0" applyAlignment="1" applyFont="1" applyNumberFormat="1">
      <alignment horizontal="left" readingOrder="0" shrinkToFit="0" vertical="bottom" wrapText="1"/>
    </xf>
    <xf borderId="0" fillId="0" fontId="8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904875" cy="219075"/>
    <xdr:sp>
      <xdr:nvSpPr>
        <xdr:cNvPr id="3" name="Shape 3"/>
        <xdr:cNvSpPr/>
      </xdr:nvSpPr>
      <xdr:spPr>
        <a:xfrm>
          <a:off x="1676850" y="813325"/>
          <a:ext cx="1144800" cy="301200"/>
        </a:xfrm>
        <a:prstGeom prst="rect">
          <a:avLst/>
        </a:prstGeom>
        <a:solidFill>
          <a:srgbClr val="A4C2F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Reset Form</a:t>
          </a:r>
          <a:endParaRPr b="1" sz="1200"/>
        </a:p>
      </xdr:txBody>
    </xdr:sp>
    <xdr:clientData fLocksWithSheet="0"/>
  </xdr:oneCellAnchor>
  <xdr:oneCellAnchor>
    <xdr:from>
      <xdr:col>2</xdr:col>
      <xdr:colOff>352425</xdr:colOff>
      <xdr:row>35</xdr:row>
      <xdr:rowOff>371475</xdr:rowOff>
    </xdr:from>
    <xdr:ext cx="85725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35</xdr:row>
      <xdr:rowOff>352425</xdr:rowOff>
    </xdr:from>
    <xdr:ext cx="85725" cy="3714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isd.net/employees/department/accounts-payable/documents/travel-employee-reimbursement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.14"/>
    <col customWidth="1" min="3" max="3" width="7.0"/>
    <col customWidth="1" min="4" max="4" width="7.71"/>
    <col customWidth="1" min="5" max="5" width="2.29"/>
    <col customWidth="1" min="6" max="6" width="1.14"/>
    <col customWidth="1" min="7" max="7" width="18.71"/>
    <col customWidth="1" min="8" max="8" width="3.29"/>
    <col customWidth="1" min="9" max="9" width="18.71"/>
    <col customWidth="1" min="10" max="10" width="4.29"/>
    <col customWidth="1" min="11" max="11" width="4.86"/>
    <col customWidth="1" min="12" max="13" width="8.57"/>
    <col customWidth="1" min="14" max="14" width="1.14"/>
    <col customWidth="1" min="15" max="16" width="6.71"/>
    <col customWidth="1" min="17" max="17" width="11.57"/>
    <col customWidth="1" min="18" max="18" width="1.14"/>
    <col customWidth="1" min="19" max="22" width="4.71"/>
    <col customWidth="1" min="23" max="23" width="4.43"/>
    <col customWidth="1" min="24" max="24" width="5.43"/>
    <col customWidth="1" min="25" max="25" width="1.57"/>
    <col customWidth="1" min="26" max="26" width="2.29"/>
  </cols>
  <sheetData>
    <row r="1" ht="13.5" customHeight="1">
      <c r="A1" s="1"/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 t="s">
        <v>0</v>
      </c>
      <c r="T1" s="7"/>
      <c r="U1" s="7"/>
      <c r="V1" s="7"/>
      <c r="W1" s="7"/>
      <c r="X1" s="7"/>
      <c r="Y1" s="8"/>
      <c r="Z1" s="5"/>
    </row>
    <row r="2" ht="5.25" customHeight="1">
      <c r="A2" s="5"/>
      <c r="B2" s="9"/>
      <c r="C2" s="10"/>
      <c r="D2" s="10"/>
      <c r="E2" s="11"/>
      <c r="F2" s="5"/>
      <c r="G2" s="12" t="s">
        <v>1</v>
      </c>
      <c r="R2" s="5"/>
      <c r="S2" s="13"/>
      <c r="T2" s="14"/>
      <c r="U2" s="14"/>
      <c r="V2" s="14"/>
      <c r="W2" s="14"/>
      <c r="X2" s="14"/>
      <c r="Y2" s="15"/>
      <c r="Z2" s="5"/>
    </row>
    <row r="3" ht="30.75" customHeight="1">
      <c r="A3" s="16"/>
      <c r="B3" s="16"/>
      <c r="C3" s="16"/>
      <c r="D3" s="16"/>
      <c r="E3" s="16"/>
      <c r="F3" s="16"/>
      <c r="R3" s="16"/>
      <c r="S3" s="16"/>
      <c r="T3" s="16"/>
      <c r="U3" s="16"/>
      <c r="V3" s="16"/>
      <c r="W3" s="16"/>
      <c r="X3" s="16"/>
      <c r="Y3" s="16"/>
      <c r="Z3" s="16"/>
    </row>
    <row r="4" ht="27.0" customHeight="1">
      <c r="A4" s="17" t="s">
        <v>2</v>
      </c>
      <c r="X4" s="18"/>
      <c r="Y4" s="18"/>
      <c r="Z4" s="18"/>
    </row>
    <row r="5" ht="28.5" customHeight="1">
      <c r="A5" s="19" t="s">
        <v>3</v>
      </c>
      <c r="C5" s="20"/>
      <c r="D5" s="14"/>
      <c r="E5" s="14"/>
      <c r="F5" s="14"/>
      <c r="G5" s="14"/>
      <c r="H5" s="21" t="s">
        <v>4</v>
      </c>
      <c r="J5" s="22"/>
      <c r="K5" s="14"/>
      <c r="L5" s="14"/>
      <c r="M5" s="14"/>
      <c r="N5" s="23"/>
      <c r="O5" s="23"/>
      <c r="P5" s="23" t="s">
        <v>5</v>
      </c>
      <c r="R5" s="24"/>
      <c r="S5" s="25"/>
      <c r="T5" s="25"/>
      <c r="U5" s="25"/>
      <c r="V5" s="25"/>
      <c r="W5" s="25"/>
      <c r="X5" s="26"/>
      <c r="Y5" s="26"/>
      <c r="Z5" s="26"/>
    </row>
    <row r="6" ht="28.5" customHeight="1">
      <c r="A6" s="19" t="s">
        <v>6</v>
      </c>
      <c r="F6" s="27"/>
      <c r="G6" s="14"/>
      <c r="H6" s="14"/>
      <c r="I6" s="14"/>
      <c r="J6" s="14"/>
      <c r="K6" s="14"/>
      <c r="L6" s="14"/>
      <c r="M6" s="14"/>
      <c r="N6" s="26"/>
      <c r="O6" s="19"/>
      <c r="P6" s="19" t="s">
        <v>7</v>
      </c>
      <c r="S6" s="28"/>
      <c r="T6" s="14"/>
      <c r="U6" s="14"/>
      <c r="V6" s="14"/>
      <c r="W6" s="14"/>
      <c r="X6" s="14"/>
      <c r="Y6" s="26"/>
      <c r="Z6" s="26"/>
    </row>
    <row r="7" ht="12.75" customHeight="1">
      <c r="G7" s="29" t="s">
        <v>8</v>
      </c>
      <c r="N7" s="30"/>
      <c r="O7" s="30"/>
      <c r="P7" s="30"/>
      <c r="Y7" s="5"/>
      <c r="Z7" s="5"/>
    </row>
    <row r="8" ht="28.5" customHeight="1">
      <c r="A8" s="31" t="s">
        <v>9</v>
      </c>
      <c r="D8" s="32"/>
      <c r="E8" s="14"/>
      <c r="F8" s="14"/>
      <c r="G8" s="14"/>
      <c r="H8" s="14"/>
      <c r="I8" s="14"/>
      <c r="J8" s="5"/>
      <c r="K8" s="5"/>
      <c r="L8" s="32"/>
      <c r="M8" s="14"/>
      <c r="N8" s="5"/>
      <c r="O8" s="5"/>
      <c r="P8" s="32"/>
      <c r="Q8" s="14"/>
      <c r="R8" s="5"/>
      <c r="S8" s="32"/>
      <c r="T8" s="14"/>
      <c r="U8" s="14"/>
      <c r="V8" s="14"/>
      <c r="W8" s="5"/>
      <c r="X8" s="5"/>
      <c r="Y8" s="5"/>
      <c r="Z8" s="5"/>
    </row>
    <row r="9" ht="12.0" customHeight="1">
      <c r="A9" s="33"/>
      <c r="D9" s="29" t="s">
        <v>10</v>
      </c>
      <c r="J9" s="5"/>
      <c r="K9" s="29"/>
      <c r="L9" s="29" t="s">
        <v>11</v>
      </c>
      <c r="N9" s="29"/>
      <c r="O9" s="29"/>
      <c r="P9" s="29" t="s">
        <v>12</v>
      </c>
      <c r="R9" s="5"/>
      <c r="S9" s="29" t="s">
        <v>13</v>
      </c>
      <c r="W9" s="34"/>
      <c r="X9" s="5"/>
      <c r="Y9" s="5"/>
      <c r="Z9" s="5"/>
    </row>
    <row r="10" ht="6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2.5" customHeight="1">
      <c r="A11" s="36" t="s">
        <v>14</v>
      </c>
    </row>
    <row r="12" ht="6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8.5" customHeight="1">
      <c r="A13" s="37"/>
      <c r="D13" s="38" t="s">
        <v>15</v>
      </c>
      <c r="F13" s="39"/>
      <c r="G13" s="14"/>
      <c r="H13" s="14"/>
      <c r="I13" s="38" t="s">
        <v>16</v>
      </c>
      <c r="L13" s="40"/>
      <c r="M13" s="14"/>
      <c r="N13" s="41" t="s">
        <v>17</v>
      </c>
      <c r="Q13" s="40"/>
      <c r="R13" s="14"/>
      <c r="S13" s="14"/>
      <c r="T13" s="14"/>
      <c r="U13" s="14"/>
      <c r="V13" s="14"/>
      <c r="W13" s="14"/>
      <c r="X13" s="42"/>
      <c r="Y13" s="42"/>
      <c r="Z13" s="42"/>
    </row>
    <row r="14" ht="9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46.5" customHeight="1">
      <c r="A15" s="42"/>
      <c r="B15" s="42"/>
      <c r="C15" s="43" t="s">
        <v>18</v>
      </c>
      <c r="D15" s="44"/>
      <c r="E15" s="45" t="s">
        <v>19</v>
      </c>
      <c r="F15" s="46"/>
      <c r="G15" s="44"/>
      <c r="H15" s="45" t="s">
        <v>20</v>
      </c>
      <c r="I15" s="44"/>
      <c r="J15" s="45" t="s">
        <v>21</v>
      </c>
      <c r="K15" s="46"/>
      <c r="L15" s="46"/>
      <c r="M15" s="44"/>
      <c r="N15" s="47" t="s">
        <v>22</v>
      </c>
      <c r="O15" s="46"/>
      <c r="P15" s="46"/>
      <c r="Q15" s="44"/>
      <c r="R15" s="48" t="s">
        <v>23</v>
      </c>
      <c r="S15" s="46"/>
      <c r="T15" s="46"/>
      <c r="U15" s="46"/>
      <c r="V15" s="46"/>
      <c r="W15" s="46"/>
      <c r="X15" s="44"/>
      <c r="Y15" s="42"/>
      <c r="Z15" s="42"/>
    </row>
    <row r="16" ht="31.5" customHeight="1">
      <c r="A16" s="16"/>
      <c r="B16" s="16"/>
      <c r="C16" s="49"/>
      <c r="D16" s="15"/>
      <c r="E16" s="50"/>
      <c r="F16" s="14"/>
      <c r="G16" s="15"/>
      <c r="H16" s="50"/>
      <c r="I16" s="15"/>
      <c r="J16" s="50"/>
      <c r="K16" s="14"/>
      <c r="L16" s="14"/>
      <c r="M16" s="15"/>
      <c r="N16" s="51" t="str">
        <f t="shared" ref="N16:N29" si="1">numberOfMiles(E16,H16)</f>
        <v/>
      </c>
      <c r="O16" s="52"/>
      <c r="P16" s="52"/>
      <c r="Q16" s="53"/>
      <c r="R16" s="54" t="s">
        <v>24</v>
      </c>
      <c r="S16" s="14"/>
      <c r="T16" s="14"/>
      <c r="U16" s="14"/>
      <c r="V16" s="14"/>
      <c r="W16" s="14"/>
      <c r="X16" s="15"/>
      <c r="Y16" s="16"/>
      <c r="Z16" s="16"/>
    </row>
    <row r="17" ht="31.5" customHeight="1">
      <c r="A17" s="16"/>
      <c r="B17" s="16"/>
      <c r="C17" s="55"/>
      <c r="D17" s="56"/>
      <c r="E17" s="57"/>
      <c r="F17" s="58"/>
      <c r="G17" s="56"/>
      <c r="H17" s="57"/>
      <c r="I17" s="56"/>
      <c r="J17" s="57"/>
      <c r="K17" s="58"/>
      <c r="L17" s="58"/>
      <c r="M17" s="56"/>
      <c r="N17" s="59" t="str">
        <f t="shared" si="1"/>
        <v/>
      </c>
      <c r="O17" s="14"/>
      <c r="P17" s="14"/>
      <c r="Q17" s="15"/>
      <c r="R17" s="60" t="s">
        <v>24</v>
      </c>
      <c r="S17" s="58"/>
      <c r="T17" s="58"/>
      <c r="U17" s="58"/>
      <c r="V17" s="58"/>
      <c r="W17" s="58"/>
      <c r="X17" s="56"/>
      <c r="Y17" s="16"/>
      <c r="Z17" s="16"/>
    </row>
    <row r="18" ht="31.5" customHeight="1">
      <c r="A18" s="16"/>
      <c r="B18" s="16"/>
      <c r="C18" s="55"/>
      <c r="D18" s="56"/>
      <c r="E18" s="57"/>
      <c r="F18" s="58"/>
      <c r="G18" s="56"/>
      <c r="H18" s="57"/>
      <c r="I18" s="56"/>
      <c r="J18" s="57"/>
      <c r="K18" s="58"/>
      <c r="L18" s="58"/>
      <c r="M18" s="56"/>
      <c r="N18" s="59" t="str">
        <f t="shared" si="1"/>
        <v/>
      </c>
      <c r="O18" s="14"/>
      <c r="P18" s="14"/>
      <c r="Q18" s="15"/>
      <c r="R18" s="61" t="s">
        <v>25</v>
      </c>
      <c r="S18" s="58"/>
      <c r="T18" s="58"/>
      <c r="U18" s="58"/>
      <c r="V18" s="58"/>
      <c r="W18" s="58"/>
      <c r="X18" s="56"/>
      <c r="Y18" s="16"/>
      <c r="Z18" s="16"/>
    </row>
    <row r="19" ht="31.5" customHeight="1">
      <c r="A19" s="16"/>
      <c r="B19" s="16"/>
      <c r="C19" s="55"/>
      <c r="D19" s="56"/>
      <c r="E19" s="57"/>
      <c r="F19" s="58"/>
      <c r="G19" s="56"/>
      <c r="H19" s="57"/>
      <c r="I19" s="56"/>
      <c r="J19" s="57"/>
      <c r="K19" s="58"/>
      <c r="L19" s="58"/>
      <c r="M19" s="56"/>
      <c r="N19" s="59" t="str">
        <f t="shared" si="1"/>
        <v/>
      </c>
      <c r="O19" s="14"/>
      <c r="P19" s="14"/>
      <c r="Q19" s="15"/>
      <c r="R19" s="61" t="s">
        <v>26</v>
      </c>
      <c r="S19" s="58"/>
      <c r="T19" s="58"/>
      <c r="U19" s="58"/>
      <c r="V19" s="58"/>
      <c r="W19" s="58"/>
      <c r="X19" s="56"/>
      <c r="Y19" s="16"/>
      <c r="Z19" s="16"/>
    </row>
    <row r="20" ht="31.5" customHeight="1">
      <c r="A20" s="16"/>
      <c r="B20" s="16"/>
      <c r="C20" s="55"/>
      <c r="D20" s="56"/>
      <c r="E20" s="57"/>
      <c r="F20" s="58"/>
      <c r="G20" s="56"/>
      <c r="H20" s="57"/>
      <c r="I20" s="56"/>
      <c r="J20" s="57"/>
      <c r="K20" s="58"/>
      <c r="L20" s="58"/>
      <c r="M20" s="56"/>
      <c r="N20" s="59" t="str">
        <f t="shared" si="1"/>
        <v/>
      </c>
      <c r="O20" s="14"/>
      <c r="P20" s="14"/>
      <c r="Q20" s="15"/>
      <c r="R20" s="61" t="s">
        <v>27</v>
      </c>
      <c r="S20" s="58"/>
      <c r="T20" s="58"/>
      <c r="U20" s="58"/>
      <c r="V20" s="58"/>
      <c r="W20" s="58"/>
      <c r="X20" s="56"/>
      <c r="Y20" s="16"/>
      <c r="Z20" s="16"/>
    </row>
    <row r="21" ht="31.5" customHeight="1">
      <c r="A21" s="16"/>
      <c r="B21" s="16"/>
      <c r="C21" s="55"/>
      <c r="D21" s="56"/>
      <c r="E21" s="57"/>
      <c r="F21" s="58"/>
      <c r="G21" s="56"/>
      <c r="H21" s="57"/>
      <c r="I21" s="56"/>
      <c r="J21" s="57"/>
      <c r="K21" s="58"/>
      <c r="L21" s="58"/>
      <c r="M21" s="56"/>
      <c r="N21" s="59" t="str">
        <f t="shared" si="1"/>
        <v/>
      </c>
      <c r="O21" s="14"/>
      <c r="P21" s="14"/>
      <c r="Q21" s="15"/>
      <c r="R21" s="61" t="s">
        <v>28</v>
      </c>
      <c r="S21" s="58"/>
      <c r="T21" s="58"/>
      <c r="U21" s="58"/>
      <c r="V21" s="58"/>
      <c r="W21" s="58"/>
      <c r="X21" s="56"/>
      <c r="Y21" s="16"/>
      <c r="Z21" s="16"/>
    </row>
    <row r="22" ht="31.5" customHeight="1">
      <c r="A22" s="16"/>
      <c r="B22" s="16"/>
      <c r="C22" s="55"/>
      <c r="D22" s="56"/>
      <c r="E22" s="57"/>
      <c r="F22" s="58"/>
      <c r="G22" s="56"/>
      <c r="H22" s="57"/>
      <c r="I22" s="56"/>
      <c r="J22" s="57"/>
      <c r="K22" s="58"/>
      <c r="L22" s="58"/>
      <c r="M22" s="56"/>
      <c r="N22" s="59" t="str">
        <f t="shared" si="1"/>
        <v/>
      </c>
      <c r="O22" s="14"/>
      <c r="P22" s="14"/>
      <c r="Q22" s="15"/>
      <c r="R22" s="61" t="s">
        <v>29</v>
      </c>
      <c r="S22" s="58"/>
      <c r="T22" s="58"/>
      <c r="U22" s="58"/>
      <c r="V22" s="58"/>
      <c r="W22" s="58"/>
      <c r="X22" s="56"/>
      <c r="Y22" s="16"/>
      <c r="Z22" s="16"/>
    </row>
    <row r="23" ht="31.5" customHeight="1">
      <c r="A23" s="16"/>
      <c r="B23" s="16"/>
      <c r="C23" s="55"/>
      <c r="D23" s="56"/>
      <c r="E23" s="57"/>
      <c r="F23" s="58"/>
      <c r="G23" s="56"/>
      <c r="H23" s="57"/>
      <c r="I23" s="56"/>
      <c r="J23" s="57"/>
      <c r="K23" s="58"/>
      <c r="L23" s="58"/>
      <c r="M23" s="56"/>
      <c r="N23" s="59" t="str">
        <f t="shared" si="1"/>
        <v/>
      </c>
      <c r="O23" s="14"/>
      <c r="P23" s="14"/>
      <c r="Q23" s="15"/>
      <c r="R23" s="61" t="s">
        <v>30</v>
      </c>
      <c r="S23" s="58"/>
      <c r="T23" s="58"/>
      <c r="U23" s="58"/>
      <c r="V23" s="58"/>
      <c r="W23" s="58"/>
      <c r="X23" s="56"/>
      <c r="Y23" s="16"/>
      <c r="Z23" s="16"/>
    </row>
    <row r="24" ht="31.5" customHeight="1">
      <c r="A24" s="16"/>
      <c r="B24" s="16"/>
      <c r="C24" s="55"/>
      <c r="D24" s="56"/>
      <c r="E24" s="57"/>
      <c r="F24" s="58"/>
      <c r="G24" s="56"/>
      <c r="H24" s="57"/>
      <c r="I24" s="56"/>
      <c r="J24" s="57"/>
      <c r="K24" s="58"/>
      <c r="L24" s="58"/>
      <c r="M24" s="56"/>
      <c r="N24" s="59" t="str">
        <f t="shared" si="1"/>
        <v/>
      </c>
      <c r="O24" s="14"/>
      <c r="P24" s="14"/>
      <c r="Q24" s="15"/>
      <c r="R24" s="61" t="s">
        <v>31</v>
      </c>
      <c r="S24" s="58"/>
      <c r="T24" s="58"/>
      <c r="U24" s="58"/>
      <c r="V24" s="58"/>
      <c r="W24" s="58"/>
      <c r="X24" s="56"/>
      <c r="Y24" s="16"/>
      <c r="Z24" s="16"/>
    </row>
    <row r="25" ht="31.5" customHeight="1">
      <c r="A25" s="16"/>
      <c r="B25" s="16"/>
      <c r="C25" s="55"/>
      <c r="D25" s="56"/>
      <c r="E25" s="57"/>
      <c r="F25" s="58"/>
      <c r="G25" s="56"/>
      <c r="H25" s="57"/>
      <c r="I25" s="56"/>
      <c r="J25" s="57"/>
      <c r="K25" s="58"/>
      <c r="L25" s="58"/>
      <c r="M25" s="56"/>
      <c r="N25" s="59" t="str">
        <f t="shared" si="1"/>
        <v/>
      </c>
      <c r="O25" s="14"/>
      <c r="P25" s="14"/>
      <c r="Q25" s="15"/>
      <c r="R25" s="61" t="s">
        <v>32</v>
      </c>
      <c r="S25" s="58"/>
      <c r="T25" s="58"/>
      <c r="U25" s="58"/>
      <c r="V25" s="58"/>
      <c r="W25" s="58"/>
      <c r="X25" s="56"/>
      <c r="Y25" s="16"/>
      <c r="Z25" s="16"/>
    </row>
    <row r="26" ht="31.5" customHeight="1">
      <c r="A26" s="16"/>
      <c r="B26" s="16"/>
      <c r="C26" s="55"/>
      <c r="D26" s="56"/>
      <c r="E26" s="57"/>
      <c r="F26" s="58"/>
      <c r="G26" s="56"/>
      <c r="H26" s="57"/>
      <c r="I26" s="56"/>
      <c r="J26" s="57"/>
      <c r="K26" s="58"/>
      <c r="L26" s="58"/>
      <c r="M26" s="56"/>
      <c r="N26" s="59" t="str">
        <f t="shared" si="1"/>
        <v/>
      </c>
      <c r="O26" s="14"/>
      <c r="P26" s="14"/>
      <c r="Q26" s="15"/>
      <c r="R26" s="61" t="s">
        <v>33</v>
      </c>
      <c r="S26" s="58"/>
      <c r="T26" s="58"/>
      <c r="U26" s="58"/>
      <c r="V26" s="58"/>
      <c r="W26" s="58"/>
      <c r="X26" s="56"/>
      <c r="Y26" s="16"/>
      <c r="Z26" s="16"/>
    </row>
    <row r="27" ht="31.5" customHeight="1">
      <c r="A27" s="16"/>
      <c r="B27" s="16"/>
      <c r="C27" s="55"/>
      <c r="D27" s="56"/>
      <c r="E27" s="57"/>
      <c r="F27" s="58"/>
      <c r="G27" s="56"/>
      <c r="H27" s="57"/>
      <c r="I27" s="56"/>
      <c r="J27" s="57"/>
      <c r="K27" s="58"/>
      <c r="L27" s="58"/>
      <c r="M27" s="56"/>
      <c r="N27" s="59" t="str">
        <f t="shared" si="1"/>
        <v/>
      </c>
      <c r="O27" s="14"/>
      <c r="P27" s="14"/>
      <c r="Q27" s="15"/>
      <c r="R27" s="61" t="s">
        <v>34</v>
      </c>
      <c r="S27" s="58"/>
      <c r="T27" s="58"/>
      <c r="U27" s="58"/>
      <c r="V27" s="58"/>
      <c r="W27" s="58"/>
      <c r="X27" s="56"/>
      <c r="Y27" s="16"/>
      <c r="Z27" s="16"/>
    </row>
    <row r="28" ht="31.5" customHeight="1">
      <c r="A28" s="16"/>
      <c r="B28" s="16"/>
      <c r="C28" s="55"/>
      <c r="D28" s="56"/>
      <c r="E28" s="57"/>
      <c r="F28" s="58"/>
      <c r="G28" s="56"/>
      <c r="H28" s="57"/>
      <c r="I28" s="56"/>
      <c r="J28" s="57"/>
      <c r="K28" s="58"/>
      <c r="L28" s="58"/>
      <c r="M28" s="56"/>
      <c r="N28" s="59" t="str">
        <f t="shared" si="1"/>
        <v/>
      </c>
      <c r="O28" s="14"/>
      <c r="P28" s="14"/>
      <c r="Q28" s="15"/>
      <c r="R28" s="61" t="s">
        <v>35</v>
      </c>
      <c r="S28" s="58"/>
      <c r="T28" s="58"/>
      <c r="U28" s="58"/>
      <c r="V28" s="58"/>
      <c r="W28" s="58"/>
      <c r="X28" s="56"/>
      <c r="Y28" s="16"/>
      <c r="Z28" s="16"/>
    </row>
    <row r="29" ht="31.5" customHeight="1">
      <c r="A29" s="16"/>
      <c r="B29" s="16"/>
      <c r="C29" s="55"/>
      <c r="D29" s="56"/>
      <c r="E29" s="57"/>
      <c r="F29" s="58"/>
      <c r="G29" s="56"/>
      <c r="H29" s="57"/>
      <c r="I29" s="56"/>
      <c r="J29" s="57"/>
      <c r="K29" s="58"/>
      <c r="L29" s="58"/>
      <c r="M29" s="56"/>
      <c r="N29" s="59" t="str">
        <f t="shared" si="1"/>
        <v/>
      </c>
      <c r="O29" s="14"/>
      <c r="P29" s="14"/>
      <c r="Q29" s="15"/>
      <c r="R29" s="61" t="s">
        <v>36</v>
      </c>
      <c r="S29" s="58"/>
      <c r="T29" s="58"/>
      <c r="U29" s="58"/>
      <c r="V29" s="58"/>
      <c r="W29" s="58"/>
      <c r="X29" s="56"/>
      <c r="Y29" s="16"/>
      <c r="Z29" s="16"/>
    </row>
    <row r="30" ht="14.25" customHeight="1">
      <c r="A30" s="5"/>
      <c r="B30" s="5"/>
      <c r="C30" s="62"/>
      <c r="D30" s="7"/>
      <c r="E30" s="62"/>
      <c r="F30" s="7"/>
      <c r="G30" s="62"/>
      <c r="H30" s="5"/>
      <c r="I30" s="5"/>
      <c r="J30" s="63" t="s">
        <v>37</v>
      </c>
      <c r="K30" s="58"/>
      <c r="L30" s="58"/>
      <c r="M30" s="56"/>
      <c r="N30" s="64">
        <f>sum(N16:Q29)</f>
        <v>0</v>
      </c>
      <c r="O30" s="58"/>
      <c r="P30" s="58"/>
      <c r="Q30" s="56"/>
      <c r="R30" s="65"/>
      <c r="S30" s="7"/>
      <c r="T30" s="7"/>
      <c r="U30" s="7"/>
      <c r="V30" s="7"/>
      <c r="W30" s="7"/>
      <c r="X30" s="7"/>
      <c r="Y30" s="5"/>
      <c r="Z30" s="5"/>
    </row>
    <row r="31" ht="17.25" customHeight="1">
      <c r="A31" s="16"/>
      <c r="B31" s="16"/>
      <c r="C31" s="66"/>
      <c r="D31" s="67"/>
      <c r="E31" s="67"/>
      <c r="F31" s="68"/>
      <c r="G31" s="16"/>
      <c r="H31" s="16"/>
      <c r="I31" s="16"/>
      <c r="J31" s="63" t="s">
        <v>38</v>
      </c>
      <c r="K31" s="58"/>
      <c r="L31" s="58"/>
      <c r="M31" s="56"/>
      <c r="N31" s="69">
        <v>0.725</v>
      </c>
      <c r="O31" s="58"/>
      <c r="P31" s="58"/>
      <c r="Q31" s="56"/>
      <c r="R31" s="70"/>
      <c r="Y31" s="16"/>
      <c r="Z31" s="16"/>
    </row>
    <row r="32" ht="14.25" customHeight="1">
      <c r="A32" s="5"/>
      <c r="B32" s="5"/>
      <c r="C32" s="5"/>
      <c r="E32" s="5"/>
      <c r="G32" s="5"/>
      <c r="H32" s="16"/>
      <c r="I32" s="16"/>
      <c r="J32" s="63" t="s">
        <v>39</v>
      </c>
      <c r="K32" s="58"/>
      <c r="L32" s="58"/>
      <c r="M32" s="56"/>
      <c r="N32" s="71">
        <f>(N30*N31)</f>
        <v>0</v>
      </c>
      <c r="O32" s="58"/>
      <c r="P32" s="58"/>
      <c r="Q32" s="56"/>
      <c r="R32" s="72"/>
      <c r="Y32" s="5"/>
      <c r="Z32" s="5"/>
    </row>
    <row r="33">
      <c r="B33" s="42"/>
      <c r="C33" s="73" t="s">
        <v>40</v>
      </c>
      <c r="Y33" s="42"/>
      <c r="Z33" s="42"/>
    </row>
    <row r="34">
      <c r="A34" s="42"/>
      <c r="B34" s="42"/>
      <c r="C34" s="74" t="s">
        <v>41</v>
      </c>
      <c r="J34" s="75" t="s">
        <v>42</v>
      </c>
      <c r="K34" s="42"/>
      <c r="L34" s="76"/>
      <c r="M34" s="14"/>
      <c r="N34" s="14"/>
      <c r="O34" s="14"/>
      <c r="P34" s="14"/>
      <c r="Q34" s="14"/>
      <c r="R34" s="42"/>
      <c r="S34" s="42"/>
      <c r="T34" s="42"/>
      <c r="U34" s="42"/>
      <c r="V34" s="42"/>
      <c r="W34" s="42"/>
      <c r="X34" s="42"/>
      <c r="Y34" s="42"/>
      <c r="Z34" s="42"/>
    </row>
    <row r="35" ht="1.5" customHeight="1">
      <c r="A35" s="77"/>
      <c r="B35" s="77"/>
      <c r="C35" s="78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77"/>
      <c r="Z35" s="77"/>
    </row>
    <row r="36" ht="30.0" customHeight="1">
      <c r="B36" s="77"/>
      <c r="C36" s="79" t="s">
        <v>43</v>
      </c>
      <c r="Y36" s="77"/>
      <c r="Z36" s="77"/>
    </row>
    <row r="37">
      <c r="A37" s="42"/>
      <c r="B37" s="42"/>
      <c r="C37" s="42"/>
      <c r="D37" s="80" t="s">
        <v>44</v>
      </c>
      <c r="K37" s="42"/>
      <c r="L37" s="80" t="s">
        <v>45</v>
      </c>
    </row>
    <row r="38" ht="15.75" customHeight="1">
      <c r="A38" s="81" t="s">
        <v>46</v>
      </c>
    </row>
    <row r="39" ht="10.5" customHeight="1">
      <c r="A39" s="82" t="s">
        <v>47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47">
    <mergeCell ref="J5:M5"/>
    <mergeCell ref="P5:R5"/>
    <mergeCell ref="B1:E2"/>
    <mergeCell ref="S1:Y2"/>
    <mergeCell ref="G2:Q3"/>
    <mergeCell ref="A4:W4"/>
    <mergeCell ref="A5:B5"/>
    <mergeCell ref="C5:G5"/>
    <mergeCell ref="H5:I5"/>
    <mergeCell ref="A6:E6"/>
    <mergeCell ref="F6:M6"/>
    <mergeCell ref="P6:R6"/>
    <mergeCell ref="S6:X6"/>
    <mergeCell ref="A7:F7"/>
    <mergeCell ref="G7:M7"/>
    <mergeCell ref="P7:X7"/>
    <mergeCell ref="P8:Q8"/>
    <mergeCell ref="P9:Q9"/>
    <mergeCell ref="A8:C8"/>
    <mergeCell ref="D8:I8"/>
    <mergeCell ref="L8:M8"/>
    <mergeCell ref="S8:V8"/>
    <mergeCell ref="A9:C9"/>
    <mergeCell ref="L9:M9"/>
    <mergeCell ref="S9:V9"/>
    <mergeCell ref="N13:P13"/>
    <mergeCell ref="Q13:W13"/>
    <mergeCell ref="D9:I9"/>
    <mergeCell ref="A11:Z11"/>
    <mergeCell ref="A13:C13"/>
    <mergeCell ref="D13:E13"/>
    <mergeCell ref="F13:H13"/>
    <mergeCell ref="I13:K13"/>
    <mergeCell ref="L13:M13"/>
    <mergeCell ref="J22:M22"/>
    <mergeCell ref="N22:Q22"/>
    <mergeCell ref="C21:D21"/>
    <mergeCell ref="E21:G21"/>
    <mergeCell ref="H21:I21"/>
    <mergeCell ref="J21:M21"/>
    <mergeCell ref="N21:Q21"/>
    <mergeCell ref="R21:X21"/>
    <mergeCell ref="C22:D22"/>
    <mergeCell ref="R22:X22"/>
    <mergeCell ref="E22:G22"/>
    <mergeCell ref="H22:I22"/>
    <mergeCell ref="E23:G23"/>
    <mergeCell ref="H23:I23"/>
    <mergeCell ref="J23:M23"/>
    <mergeCell ref="N23:Q23"/>
    <mergeCell ref="R23:X23"/>
    <mergeCell ref="C23:D23"/>
    <mergeCell ref="C24:D24"/>
    <mergeCell ref="E24:G24"/>
    <mergeCell ref="H24:I24"/>
    <mergeCell ref="J24:M24"/>
    <mergeCell ref="N24:Q24"/>
    <mergeCell ref="R24:X24"/>
    <mergeCell ref="J26:M26"/>
    <mergeCell ref="N26:Q26"/>
    <mergeCell ref="C25:D25"/>
    <mergeCell ref="E25:G25"/>
    <mergeCell ref="H25:I25"/>
    <mergeCell ref="J25:M25"/>
    <mergeCell ref="N25:Q25"/>
    <mergeCell ref="R25:X25"/>
    <mergeCell ref="C26:D26"/>
    <mergeCell ref="R26:X26"/>
    <mergeCell ref="E26:G26"/>
    <mergeCell ref="H26:I26"/>
    <mergeCell ref="E27:G27"/>
    <mergeCell ref="H27:I27"/>
    <mergeCell ref="J27:M27"/>
    <mergeCell ref="N27:Q27"/>
    <mergeCell ref="R27:X27"/>
    <mergeCell ref="C27:D27"/>
    <mergeCell ref="C28:D28"/>
    <mergeCell ref="E28:G28"/>
    <mergeCell ref="H28:I28"/>
    <mergeCell ref="J28:M28"/>
    <mergeCell ref="N28:Q28"/>
    <mergeCell ref="R28:X28"/>
    <mergeCell ref="N30:Q30"/>
    <mergeCell ref="R30:X30"/>
    <mergeCell ref="C29:D29"/>
    <mergeCell ref="E29:G29"/>
    <mergeCell ref="H29:I29"/>
    <mergeCell ref="N29:Q29"/>
    <mergeCell ref="R29:X29"/>
    <mergeCell ref="C30:D30"/>
    <mergeCell ref="E30:F30"/>
    <mergeCell ref="N32:Q32"/>
    <mergeCell ref="R32:X32"/>
    <mergeCell ref="J29:M29"/>
    <mergeCell ref="J30:M30"/>
    <mergeCell ref="C31:F31"/>
    <mergeCell ref="N31:Q31"/>
    <mergeCell ref="R31:X31"/>
    <mergeCell ref="C32:D32"/>
    <mergeCell ref="E32:F32"/>
    <mergeCell ref="J16:M16"/>
    <mergeCell ref="N16:Q16"/>
    <mergeCell ref="J17:M17"/>
    <mergeCell ref="N17:Q17"/>
    <mergeCell ref="R17:X17"/>
    <mergeCell ref="C15:D15"/>
    <mergeCell ref="E15:G15"/>
    <mergeCell ref="H15:I15"/>
    <mergeCell ref="J15:M15"/>
    <mergeCell ref="N15:Q15"/>
    <mergeCell ref="R15:X15"/>
    <mergeCell ref="C16:D16"/>
    <mergeCell ref="R16:X16"/>
    <mergeCell ref="H18:I18"/>
    <mergeCell ref="J18:M18"/>
    <mergeCell ref="N18:Q18"/>
    <mergeCell ref="R18:X18"/>
    <mergeCell ref="C19:D19"/>
    <mergeCell ref="E19:G19"/>
    <mergeCell ref="H19:I19"/>
    <mergeCell ref="J19:M19"/>
    <mergeCell ref="N19:Q19"/>
    <mergeCell ref="R19:X19"/>
    <mergeCell ref="C20:D20"/>
    <mergeCell ref="E20:G20"/>
    <mergeCell ref="H20:I20"/>
    <mergeCell ref="J20:M20"/>
    <mergeCell ref="N20:Q20"/>
    <mergeCell ref="R20:X20"/>
    <mergeCell ref="E16:G16"/>
    <mergeCell ref="H16:I16"/>
    <mergeCell ref="C17:D17"/>
    <mergeCell ref="E17:G17"/>
    <mergeCell ref="H17:I17"/>
    <mergeCell ref="C18:D18"/>
    <mergeCell ref="E18:G18"/>
    <mergeCell ref="D37:J37"/>
    <mergeCell ref="L37:Z37"/>
    <mergeCell ref="A38:Z38"/>
    <mergeCell ref="A39:X39"/>
    <mergeCell ref="J31:M31"/>
    <mergeCell ref="J32:M32"/>
    <mergeCell ref="C33:X33"/>
    <mergeCell ref="C34:I34"/>
    <mergeCell ref="L34:Q34"/>
    <mergeCell ref="C35:X35"/>
    <mergeCell ref="C36:X36"/>
  </mergeCells>
  <dataValidations>
    <dataValidation type="list" allowBlank="1" showDropDown="1" sqref="E16:E29 H16:H29">
      <formula1>'Campus List'!$A$1:$A$147</formula1>
    </dataValidation>
    <dataValidation type="custom" allowBlank="1" showDropDown="1" sqref="C5 C16:C29">
      <formula1>OR(NOT(ISERROR(DATEVALUE(C5))), AND(ISNUMBER(C5), LEFT(CELL("format", C5))="D"))</formula1>
    </dataValidation>
    <dataValidation type="list" allowBlank="1" sqref="R16:R29">
      <formula1>"Per mileage chart,Per other source attached"</formula1>
    </dataValidation>
  </dataValidations>
  <hyperlinks>
    <hyperlink r:id="rId1" ref="S1"/>
  </hyperlinks>
  <printOptions/>
  <pageMargins bottom="0.75" footer="0.0" header="0.0" left="0.25" right="0.25" top="0.75"/>
  <pageSetup orientation="portrait"/>
  <colBreaks count="2" manualBreakCount="2">
    <brk man="1"/>
    <brk id="2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86"/>
  </cols>
  <sheetData>
    <row r="1">
      <c r="A1" s="83" t="s">
        <v>48</v>
      </c>
    </row>
    <row r="2">
      <c r="A2" s="83" t="s">
        <v>49</v>
      </c>
    </row>
    <row r="3">
      <c r="A3" s="83" t="s">
        <v>50</v>
      </c>
    </row>
    <row r="4">
      <c r="A4" s="83" t="s">
        <v>51</v>
      </c>
    </row>
    <row r="5">
      <c r="A5" s="83" t="s">
        <v>52</v>
      </c>
    </row>
    <row r="6">
      <c r="A6" s="83" t="s">
        <v>53</v>
      </c>
    </row>
    <row r="7">
      <c r="A7" s="83" t="s">
        <v>54</v>
      </c>
    </row>
    <row r="8">
      <c r="A8" s="83" t="s">
        <v>55</v>
      </c>
    </row>
    <row r="9">
      <c r="A9" s="83" t="s">
        <v>56</v>
      </c>
    </row>
    <row r="10">
      <c r="A10" s="83" t="s">
        <v>57</v>
      </c>
    </row>
    <row r="11">
      <c r="A11" s="83" t="s">
        <v>58</v>
      </c>
    </row>
    <row r="12">
      <c r="A12" s="83" t="s">
        <v>59</v>
      </c>
    </row>
    <row r="13">
      <c r="A13" s="83" t="s">
        <v>60</v>
      </c>
    </row>
    <row r="14">
      <c r="A14" s="83" t="s">
        <v>61</v>
      </c>
    </row>
    <row r="15">
      <c r="A15" s="84" t="s">
        <v>62</v>
      </c>
    </row>
    <row r="16">
      <c r="A16" s="83" t="s">
        <v>63</v>
      </c>
    </row>
    <row r="17">
      <c r="A17" s="83" t="s">
        <v>64</v>
      </c>
    </row>
    <row r="18">
      <c r="A18" s="83" t="s">
        <v>65</v>
      </c>
    </row>
    <row r="19">
      <c r="A19" s="83" t="s">
        <v>66</v>
      </c>
    </row>
    <row r="20">
      <c r="A20" s="83" t="s">
        <v>67</v>
      </c>
    </row>
    <row r="21">
      <c r="A21" s="83" t="s">
        <v>68</v>
      </c>
    </row>
    <row r="22">
      <c r="A22" s="83" t="s">
        <v>69</v>
      </c>
    </row>
    <row r="23">
      <c r="A23" s="83" t="s">
        <v>70</v>
      </c>
    </row>
    <row r="24">
      <c r="A24" s="83" t="s">
        <v>71</v>
      </c>
    </row>
    <row r="25">
      <c r="A25" s="83" t="s">
        <v>72</v>
      </c>
    </row>
    <row r="26">
      <c r="A26" s="83" t="s">
        <v>73</v>
      </c>
    </row>
    <row r="27">
      <c r="A27" s="83" t="s">
        <v>74</v>
      </c>
    </row>
    <row r="28">
      <c r="A28" s="83" t="s">
        <v>75</v>
      </c>
    </row>
    <row r="29">
      <c r="A29" s="83" t="s">
        <v>76</v>
      </c>
    </row>
    <row r="30">
      <c r="A30" s="83" t="s">
        <v>77</v>
      </c>
    </row>
    <row r="31">
      <c r="A31" s="83" t="s">
        <v>78</v>
      </c>
    </row>
    <row r="32">
      <c r="A32" s="83" t="s">
        <v>79</v>
      </c>
    </row>
    <row r="33">
      <c r="A33" s="83" t="s">
        <v>80</v>
      </c>
    </row>
    <row r="34">
      <c r="A34" s="83" t="s">
        <v>81</v>
      </c>
    </row>
    <row r="35">
      <c r="A35" s="83" t="s">
        <v>82</v>
      </c>
    </row>
    <row r="36">
      <c r="A36" s="83" t="s">
        <v>83</v>
      </c>
    </row>
    <row r="37">
      <c r="A37" s="83" t="s">
        <v>84</v>
      </c>
    </row>
    <row r="38">
      <c r="A38" s="83" t="s">
        <v>85</v>
      </c>
    </row>
    <row r="39">
      <c r="A39" s="83" t="s">
        <v>86</v>
      </c>
    </row>
    <row r="40">
      <c r="A40" s="84" t="s">
        <v>87</v>
      </c>
    </row>
    <row r="41">
      <c r="A41" s="83" t="s">
        <v>88</v>
      </c>
    </row>
    <row r="42">
      <c r="A42" s="83" t="s">
        <v>89</v>
      </c>
    </row>
    <row r="43">
      <c r="A43" s="83" t="s">
        <v>90</v>
      </c>
    </row>
    <row r="44">
      <c r="A44" s="83" t="s">
        <v>91</v>
      </c>
    </row>
    <row r="45">
      <c r="A45" s="83" t="s">
        <v>92</v>
      </c>
    </row>
    <row r="46">
      <c r="A46" s="83" t="s">
        <v>93</v>
      </c>
    </row>
    <row r="47">
      <c r="A47" s="83" t="s">
        <v>94</v>
      </c>
    </row>
    <row r="48">
      <c r="A48" s="83" t="s">
        <v>95</v>
      </c>
    </row>
    <row r="49">
      <c r="A49" s="83" t="s">
        <v>96</v>
      </c>
    </row>
    <row r="50">
      <c r="A50" s="83" t="s">
        <v>97</v>
      </c>
    </row>
    <row r="51">
      <c r="A51" s="83" t="s">
        <v>98</v>
      </c>
    </row>
    <row r="52">
      <c r="A52" s="83" t="s">
        <v>99</v>
      </c>
    </row>
    <row r="53">
      <c r="A53" s="83" t="s">
        <v>100</v>
      </c>
    </row>
    <row r="54">
      <c r="A54" s="83" t="s">
        <v>101</v>
      </c>
    </row>
    <row r="55">
      <c r="A55" s="83" t="s">
        <v>102</v>
      </c>
    </row>
    <row r="56">
      <c r="A56" s="83" t="s">
        <v>103</v>
      </c>
    </row>
    <row r="57">
      <c r="A57" s="83" t="s">
        <v>104</v>
      </c>
    </row>
    <row r="58">
      <c r="A58" s="83" t="s">
        <v>105</v>
      </c>
    </row>
    <row r="59">
      <c r="A59" s="83" t="s">
        <v>106</v>
      </c>
    </row>
    <row r="60">
      <c r="A60" s="83" t="s">
        <v>107</v>
      </c>
    </row>
    <row r="61">
      <c r="A61" s="83" t="s">
        <v>108</v>
      </c>
    </row>
    <row r="62">
      <c r="A62" s="83" t="s">
        <v>109</v>
      </c>
    </row>
    <row r="63">
      <c r="A63" s="83" t="s">
        <v>110</v>
      </c>
    </row>
    <row r="64">
      <c r="A64" s="83" t="s">
        <v>111</v>
      </c>
    </row>
    <row r="65">
      <c r="A65" s="83" t="s">
        <v>112</v>
      </c>
    </row>
    <row r="66">
      <c r="A66" s="83" t="s">
        <v>113</v>
      </c>
    </row>
    <row r="67">
      <c r="A67" s="83" t="s">
        <v>114</v>
      </c>
    </row>
    <row r="68">
      <c r="A68" s="83" t="s">
        <v>115</v>
      </c>
    </row>
    <row r="69">
      <c r="A69" s="83" t="s">
        <v>116</v>
      </c>
    </row>
    <row r="70">
      <c r="A70" s="83" t="s">
        <v>117</v>
      </c>
    </row>
    <row r="71">
      <c r="A71" s="83" t="s">
        <v>118</v>
      </c>
    </row>
    <row r="72">
      <c r="A72" s="83" t="s">
        <v>119</v>
      </c>
    </row>
    <row r="73">
      <c r="A73" s="83" t="s">
        <v>120</v>
      </c>
    </row>
    <row r="74">
      <c r="A74" s="83" t="s">
        <v>121</v>
      </c>
    </row>
    <row r="75">
      <c r="A75" s="83" t="s">
        <v>122</v>
      </c>
    </row>
    <row r="76">
      <c r="A76" s="83" t="s">
        <v>123</v>
      </c>
    </row>
    <row r="77">
      <c r="A77" s="83" t="s">
        <v>124</v>
      </c>
    </row>
    <row r="78">
      <c r="A78" s="83" t="s">
        <v>125</v>
      </c>
    </row>
    <row r="79">
      <c r="A79" s="83" t="s">
        <v>126</v>
      </c>
    </row>
    <row r="80">
      <c r="A80" s="83" t="s">
        <v>127</v>
      </c>
    </row>
    <row r="81">
      <c r="A81" s="83" t="s">
        <v>128</v>
      </c>
    </row>
    <row r="82">
      <c r="A82" s="85" t="s">
        <v>129</v>
      </c>
    </row>
    <row r="83">
      <c r="A83" s="85" t="s">
        <v>130</v>
      </c>
    </row>
    <row r="84">
      <c r="A84" s="83" t="s">
        <v>131</v>
      </c>
    </row>
    <row r="85">
      <c r="A85" s="86" t="s">
        <v>132</v>
      </c>
    </row>
    <row r="86">
      <c r="A86" s="86" t="s">
        <v>133</v>
      </c>
    </row>
    <row r="87">
      <c r="A87" s="86" t="s">
        <v>134</v>
      </c>
    </row>
    <row r="88">
      <c r="A88" s="83" t="s">
        <v>135</v>
      </c>
    </row>
    <row r="89">
      <c r="A89" s="83" t="s">
        <v>136</v>
      </c>
    </row>
    <row r="90">
      <c r="A90" s="83" t="s">
        <v>137</v>
      </c>
    </row>
    <row r="91">
      <c r="A91" s="83" t="s">
        <v>138</v>
      </c>
    </row>
    <row r="92">
      <c r="A92" s="83" t="s">
        <v>139</v>
      </c>
    </row>
    <row r="93">
      <c r="A93" s="83" t="s">
        <v>140</v>
      </c>
    </row>
    <row r="94">
      <c r="A94" s="83" t="s">
        <v>141</v>
      </c>
    </row>
    <row r="95">
      <c r="A95" s="83" t="s">
        <v>142</v>
      </c>
    </row>
    <row r="96">
      <c r="A96" s="83" t="s">
        <v>143</v>
      </c>
    </row>
    <row r="97">
      <c r="A97" s="83" t="s">
        <v>144</v>
      </c>
    </row>
    <row r="98">
      <c r="A98" s="83" t="s">
        <v>145</v>
      </c>
    </row>
    <row r="99">
      <c r="A99" s="83" t="s">
        <v>146</v>
      </c>
    </row>
    <row r="100">
      <c r="A100" s="83" t="s">
        <v>147</v>
      </c>
    </row>
    <row r="101">
      <c r="A101" s="83" t="s">
        <v>148</v>
      </c>
    </row>
    <row r="102">
      <c r="A102" s="83" t="s">
        <v>149</v>
      </c>
    </row>
    <row r="103">
      <c r="A103" s="83" t="s">
        <v>150</v>
      </c>
    </row>
    <row r="104">
      <c r="A104" s="83" t="s">
        <v>151</v>
      </c>
    </row>
    <row r="105">
      <c r="A105" s="83" t="s">
        <v>152</v>
      </c>
    </row>
    <row r="106">
      <c r="A106" s="83" t="s">
        <v>153</v>
      </c>
    </row>
    <row r="107">
      <c r="A107" s="83" t="s">
        <v>154</v>
      </c>
    </row>
    <row r="108">
      <c r="A108" s="86" t="s">
        <v>155</v>
      </c>
    </row>
    <row r="109">
      <c r="A109" s="83" t="s">
        <v>156</v>
      </c>
    </row>
    <row r="110">
      <c r="A110" s="83" t="s">
        <v>157</v>
      </c>
    </row>
    <row r="111">
      <c r="A111" s="83" t="s">
        <v>158</v>
      </c>
    </row>
    <row r="112">
      <c r="A112" s="83" t="s">
        <v>159</v>
      </c>
    </row>
    <row r="113">
      <c r="A113" s="83" t="s">
        <v>160</v>
      </c>
    </row>
    <row r="114">
      <c r="A114" s="83" t="s">
        <v>161</v>
      </c>
    </row>
    <row r="115">
      <c r="A115" s="83" t="s">
        <v>162</v>
      </c>
    </row>
    <row r="116">
      <c r="A116" s="83" t="s">
        <v>163</v>
      </c>
    </row>
    <row r="117">
      <c r="A117" s="83" t="s">
        <v>164</v>
      </c>
    </row>
    <row r="118">
      <c r="A118" s="83" t="s">
        <v>165</v>
      </c>
    </row>
    <row r="119">
      <c r="A119" s="83" t="s">
        <v>166</v>
      </c>
    </row>
    <row r="120">
      <c r="A120" s="83" t="s">
        <v>167</v>
      </c>
    </row>
    <row r="121">
      <c r="A121" s="83" t="s">
        <v>168</v>
      </c>
    </row>
    <row r="122">
      <c r="A122" s="83" t="s">
        <v>169</v>
      </c>
    </row>
    <row r="123">
      <c r="A123" s="83" t="s">
        <v>170</v>
      </c>
    </row>
    <row r="124">
      <c r="A124" s="83" t="s">
        <v>171</v>
      </c>
    </row>
    <row r="125">
      <c r="A125" s="83" t="s">
        <v>172</v>
      </c>
    </row>
    <row r="126">
      <c r="A126" s="83" t="s">
        <v>173</v>
      </c>
    </row>
    <row r="127">
      <c r="A127" s="83" t="s">
        <v>174</v>
      </c>
    </row>
    <row r="128">
      <c r="A128" s="83" t="s">
        <v>175</v>
      </c>
    </row>
    <row r="129">
      <c r="A129" s="87" t="s">
        <v>176</v>
      </c>
    </row>
    <row r="130">
      <c r="A130" s="88" t="s">
        <v>177</v>
      </c>
    </row>
    <row r="131">
      <c r="A131" s="87" t="s">
        <v>178</v>
      </c>
    </row>
    <row r="132">
      <c r="A132" s="87" t="s">
        <v>179</v>
      </c>
    </row>
    <row r="133">
      <c r="A133" s="87" t="s">
        <v>180</v>
      </c>
    </row>
    <row r="134">
      <c r="A134" s="87" t="s">
        <v>181</v>
      </c>
    </row>
    <row r="135">
      <c r="A135" s="87" t="s">
        <v>182</v>
      </c>
    </row>
    <row r="136">
      <c r="A136" s="89" t="s">
        <v>183</v>
      </c>
    </row>
    <row r="137">
      <c r="A137" s="87" t="s">
        <v>184</v>
      </c>
    </row>
    <row r="138">
      <c r="A138" s="87" t="s">
        <v>185</v>
      </c>
    </row>
    <row r="139">
      <c r="A139" s="87" t="s">
        <v>186</v>
      </c>
    </row>
    <row r="140">
      <c r="A140" s="87" t="s">
        <v>187</v>
      </c>
    </row>
    <row r="141">
      <c r="A141" s="87" t="s">
        <v>188</v>
      </c>
    </row>
    <row r="142">
      <c r="A142" s="89" t="s">
        <v>189</v>
      </c>
    </row>
    <row r="143">
      <c r="A143" s="87" t="s">
        <v>190</v>
      </c>
    </row>
    <row r="144">
      <c r="A144" s="87" t="s">
        <v>191</v>
      </c>
    </row>
    <row r="145">
      <c r="A145" s="87" t="s">
        <v>192</v>
      </c>
    </row>
    <row r="146">
      <c r="A146" s="87" t="s">
        <v>193</v>
      </c>
    </row>
    <row r="147">
      <c r="A147" s="87" t="s">
        <v>194</v>
      </c>
    </row>
  </sheetData>
  <drawing r:id="rId1"/>
</worksheet>
</file>